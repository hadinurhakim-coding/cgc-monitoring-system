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or Capaian" state="visible" r:id="rId4"/>
  </sheets>
  <calcPr calcId="171027" fullCalcOnLoad="1"/>
</workbook>
</file>

<file path=xl/sharedStrings.xml><?xml version="1.0" encoding="utf-8"?>
<sst xmlns="http://schemas.openxmlformats.org/spreadsheetml/2006/main" count="26" uniqueCount="25">
  <si>
    <t>Tabel Skor Capaian Assessment ACGS PT PLN (Persero), Tahun Buku 2026</t>
  </si>
  <si>
    <t>Standar Tata Kelola Perusahaan</t>
  </si>
  <si>
    <t>Jumlah Pertanyaan</t>
  </si>
  <si>
    <t>Skor Maksimal</t>
  </si>
  <si>
    <t>Pemenuhan</t>
  </si>
  <si>
    <t>Total Skor</t>
  </si>
  <si>
    <t>Not Applicable (N/A)</t>
  </si>
  <si>
    <t>Tidak</t>
  </si>
  <si>
    <t>Ya</t>
  </si>
  <si>
    <t>LEVEL 1</t>
  </si>
  <si>
    <t>Bagian A</t>
  </si>
  <si>
    <t>Hak-hak dan Perlakuan Setara terhadap Pemegang Saham</t>
  </si>
  <si>
    <t>Bagian B</t>
  </si>
  <si>
    <t>Keberlanjutan dan Ketahanan</t>
  </si>
  <si>
    <t>Bagian C</t>
  </si>
  <si>
    <t>Transparansi dan Pengungkapan</t>
  </si>
  <si>
    <t>Bagian D</t>
  </si>
  <si>
    <t>Tanggung Jawab Dewan</t>
  </si>
  <si>
    <t>TOTAL LEVEL 1</t>
  </si>
  <si>
    <t>LEVEL 2</t>
  </si>
  <si>
    <t>—</t>
  </si>
  <si>
    <t>Bonus</t>
  </si>
  <si>
    <t>Penalti</t>
  </si>
  <si>
    <t>TOTAL LEVEL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</si>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</sst>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[Red](0.00)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  <color rgb="FF0F172A"/>
    </font>
    <font>
      <color rgb="FF0F172A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E2E8F0"/>
      </patternFill>
    </fill>
    <fill>
      <patternFill patternType="solid">
        <fgColor rgb="FFB4C6E7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164" fontId="3" fillId="4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14" customWidth="1"/>
    <col min="2" max="2" width="42" customWidth="1"/>
    <col min="3" max="3" width="18" customWidth="1"/>
    <col min="4" max="4" width="16" customWidth="1"/>
    <col min="5" max="7" width="14" customWidth="1"/>
    <col min="8" max="8" width="16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/>
      <c r="C3" s="2" t="s">
        <v>2</v>
      </c>
      <c r="D3" s="2" t="s">
        <v>3</v>
      </c>
      <c r="E3" s="2" t="s">
        <v>4</v>
      </c>
      <c r="F3" s="2"/>
      <c r="G3" s="2"/>
      <c r="H3" s="2" t="s">
        <v>5</v>
      </c>
    </row>
    <row r="4" ht="28" customHeight="1" spans="1:8" x14ac:dyDescent="0.25">
      <c r="A4" s="2"/>
      <c r="B4" s="2"/>
      <c r="C4" s="2"/>
      <c r="D4" s="2"/>
      <c r="E4" s="2" t="s">
        <v>6</v>
      </c>
      <c r="F4" s="2" t="s">
        <v>7</v>
      </c>
      <c r="G4" s="2" t="s">
        <v>8</v>
      </c>
      <c r="H4" s="2"/>
    </row>
    <row r="5" spans="1:8" x14ac:dyDescent="0.25">
      <c r="A5" s="3" t="s">
        <v>9</v>
      </c>
      <c r="B5" s="3"/>
      <c r="C5" s="3"/>
      <c r="D5" s="3"/>
      <c r="E5" s="3"/>
      <c r="F5" s="3"/>
      <c r="G5" s="3"/>
      <c r="H5" s="3"/>
    </row>
    <row r="6" ht="30" customHeight="1" spans="1:8" x14ac:dyDescent="0.25">
      <c r="A6" s="4" t="s">
        <v>10</v>
      </c>
      <c r="B6" s="5" t="s">
        <v>11</v>
      </c>
      <c r="C6" s="6">
        <v>1</v>
      </c>
      <c r="D6" s="7">
        <v>20</v>
      </c>
      <c r="E6" s="6">
        <v>0</v>
      </c>
      <c r="F6" s="6">
        <v>0</v>
      </c>
      <c r="G6" s="6">
        <v>1</v>
      </c>
      <c r="H6" s="7">
        <f>IF(C6=0,0,(E6+G6)/C6*D6)</f>
        <v>20</v>
      </c>
    </row>
    <row r="7" ht="30" customHeight="1" spans="1:8" x14ac:dyDescent="0.25">
      <c r="A7" s="4" t="s">
        <v>12</v>
      </c>
      <c r="B7" s="5" t="s">
        <v>13</v>
      </c>
      <c r="C7" s="6">
        <v>1</v>
      </c>
      <c r="D7" s="7">
        <v>15</v>
      </c>
      <c r="E7" s="6">
        <v>1</v>
      </c>
      <c r="F7" s="6">
        <v>0</v>
      </c>
      <c r="G7" s="6">
        <v>0</v>
      </c>
      <c r="H7" s="7">
        <f>IF(C7=0,0,(E7+G7)/C7*D7)</f>
        <v>15</v>
      </c>
    </row>
    <row r="8" ht="30" customHeight="1" spans="1:8" x14ac:dyDescent="0.25">
      <c r="A8" s="4" t="s">
        <v>14</v>
      </c>
      <c r="B8" s="5" t="s">
        <v>15</v>
      </c>
      <c r="C8" s="6">
        <v>1</v>
      </c>
      <c r="D8" s="7">
        <v>25</v>
      </c>
      <c r="E8" s="6">
        <v>0</v>
      </c>
      <c r="F8" s="6">
        <v>1</v>
      </c>
      <c r="G8" s="6">
        <v>0</v>
      </c>
      <c r="H8" s="7">
        <f>IF(C8=0,0,(E8+G8)/C8*D8)</f>
        <v>0</v>
      </c>
    </row>
    <row r="9" ht="30" customHeight="1" spans="1:8" x14ac:dyDescent="0.25">
      <c r="A9" s="4" t="s">
        <v>16</v>
      </c>
      <c r="B9" s="5" t="s">
        <v>17</v>
      </c>
      <c r="C9" s="6">
        <v>1</v>
      </c>
      <c r="D9" s="7">
        <v>40</v>
      </c>
      <c r="E9" s="6">
        <v>0</v>
      </c>
      <c r="F9" s="6">
        <v>0</v>
      </c>
      <c r="G9" s="6">
        <v>1</v>
      </c>
      <c r="H9" s="7">
        <f>IF(C9=0,0,(E9+G9)/C9*D9)</f>
        <v>40</v>
      </c>
    </row>
    <row r="10" ht="26" customHeight="1" spans="1:8" x14ac:dyDescent="0.25">
      <c r="A10" s="8" t="s">
        <v>18</v>
      </c>
      <c r="B10" s="8"/>
      <c r="C10" s="9">
        <f>C6+C7+C8+C9</f>
        <v>4</v>
      </c>
      <c r="D10" s="10">
        <v>100</v>
      </c>
      <c r="E10" s="9">
        <f>E6+E7+E8+E9</f>
        <v>1</v>
      </c>
      <c r="F10" s="9">
        <f>F6+F7+F8+F9</f>
        <v>1</v>
      </c>
      <c r="G10" s="9">
        <f>G6+G7+G8+G9</f>
        <v>2</v>
      </c>
      <c r="H10" s="10">
        <f>H6+H7+H8+H9</f>
        <v>75</v>
      </c>
    </row>
    <row r="11" spans="1:8" x14ac:dyDescent="0.25">
      <c r="A11" s="3" t="s">
        <v>19</v>
      </c>
      <c r="B11" s="3"/>
      <c r="C11" s="3"/>
      <c r="D11" s="3"/>
      <c r="E11" s="3"/>
      <c r="F11" s="3"/>
      <c r="G11" s="3"/>
      <c r="H11" s="3"/>
    </row>
    <row r="12" ht="30" customHeight="1" spans="1:8" x14ac:dyDescent="0.25">
      <c r="A12" s="4" t="s">
        <v>20</v>
      </c>
      <c r="B12" s="5" t="s">
        <v>21</v>
      </c>
      <c r="C12" s="6">
        <v>1</v>
      </c>
      <c r="D12" s="7">
        <v>30</v>
      </c>
      <c r="E12" s="6">
        <v>0</v>
      </c>
      <c r="F12" s="6">
        <v>0</v>
      </c>
      <c r="G12" s="6">
        <v>1</v>
      </c>
      <c r="H12" s="7">
        <f>IF(C12=0,0,G12/C12*D12)</f>
        <v>30</v>
      </c>
    </row>
    <row r="13" ht="30" customHeight="1" spans="1:8" x14ac:dyDescent="0.25">
      <c r="A13" s="4" t="s">
        <v>20</v>
      </c>
      <c r="B13" s="5" t="s">
        <v>22</v>
      </c>
      <c r="C13" s="6">
        <v>1</v>
      </c>
      <c r="D13" s="7">
        <v>-67</v>
      </c>
      <c r="E13" s="6">
        <v>0</v>
      </c>
      <c r="F13" s="6">
        <v>0</v>
      </c>
      <c r="G13" s="6">
        <v>1</v>
      </c>
      <c r="H13" s="7">
        <f>IF(C13=0,0,G13/C13*D13)</f>
        <v>-67</v>
      </c>
    </row>
    <row r="14" ht="26" customHeight="1" spans="1:8" x14ac:dyDescent="0.25">
      <c r="A14" s="8" t="s">
        <v>23</v>
      </c>
      <c r="B14" s="8"/>
      <c r="C14" s="9">
        <f>C12+C13</f>
        <v>2</v>
      </c>
      <c r="D14" s="10">
        <v>30</v>
      </c>
      <c r="E14" s="9">
        <f>E12+E13</f>
        <v>0</v>
      </c>
      <c r="F14" s="9">
        <f>F12+F13</f>
        <v>0</v>
      </c>
      <c r="G14" s="9">
        <f>G12+G13</f>
        <v>2</v>
      </c>
      <c r="H14" s="10">
        <f>H12+H13</f>
        <v>-37</v>
      </c>
    </row>
    <row r="15" ht="26" customHeight="1" spans="1:8" x14ac:dyDescent="0.25">
      <c r="A15" s="8" t="s">
        <v>24</v>
      </c>
      <c r="B15" s="8"/>
      <c r="C15" s="9">
        <f>C10+C14</f>
        <v>6</v>
      </c>
      <c r="D15" s="10">
        <v>130</v>
      </c>
      <c r="E15" s="9">
        <f>E10+E14</f>
        <v>1</v>
      </c>
      <c r="F15" s="9">
        <f>F10+F14</f>
        <v>1</v>
      </c>
      <c r="G15" s="9">
        <f>G10+G14</f>
        <v>4</v>
      </c>
      <c r="H15" s="10">
        <f>H10+H14</f>
        <v>38</v>
      </c>
    </row>
  </sheetData>
  <mergeCells count="11">
    <mergeCell ref="A1:H1"/>
    <mergeCell ref="A3:B4"/>
    <mergeCell ref="E3:G3"/>
    <mergeCell ref="C3:C4"/>
    <mergeCell ref="D3:D4"/>
    <mergeCell ref="H3:H4"/>
    <mergeCell ref="A5:H5"/>
    <mergeCell ref="A10:B10"/>
    <mergeCell ref="A11:H11"/>
    <mergeCell ref="A14:B14"/>
    <mergeCell ref="A15:B15"/>
  </mergeCells>
  <pageMargins left="0.7" right="0.7" top="0.75" bottom="0.75" header="0.3" footer="0.3"/>
  <pageSetup paperSize="9" orientation="landscape" horizontalDpi="4294967295" verticalDpi="4294967295" scale="100" fitToWidth="1" fitToHeight="1"/>
  <headerFooter>
    <oddFooter>&amp;LAssessment ACGS 2026&amp;RHalaman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Skor Capaian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GCG Monitoring System</dc:creator>
  <dc:title>Skor Capaian Assessment ACGS 2026</dc:title>
  <dc:subject>Skor Capaian Assessment ACGS Tahun 2026</dc:subject>
  <dc:description/>
  <cp:keywords/>
  <cp:category/>
  <cp:lastModifiedBy>Unknown</cp:lastModifiedBy>
  <dcterms:created xsi:type="dcterms:W3CDTF">2026-07-30T05:10:12Z</dcterms:created>
  <dcterms:modified xsi:type="dcterms:W3CDTF">2026-07-30T05:10:12Z</dcterms:modified>
</cp:coreProperties>
</file>